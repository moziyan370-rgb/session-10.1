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C9D05ED-AE20-4AF9-B2B4-28A762948CB9}" xr6:coauthVersionLast="47" xr6:coauthVersionMax="47" xr10:uidLastSave="{00000000-0000-0000-0000-000000000000}"/>
  <bookViews>
    <workbookView xWindow="-110" yWindow="-110" windowWidth="19420" windowHeight="10420" activeTab="7" xr2:uid="{801B777C-3639-468E-9C7E-7B8A714B0470}"/>
  </bookViews>
  <sheets>
    <sheet name="Q1 A1" sheetId="1" r:id="rId1"/>
    <sheet name="Q2" sheetId="3" r:id="rId2"/>
    <sheet name="A2" sheetId="4" r:id="rId3"/>
    <sheet name="A3" sheetId="5" r:id="rId4"/>
    <sheet name="Q4" sheetId="6" r:id="rId5"/>
    <sheet name="Sheet8" sheetId="8" r:id="rId6"/>
    <sheet name="A4" sheetId="7" r:id="rId7"/>
    <sheet name="Q5" sheetId="9" r:id="rId8"/>
    <sheet name="A5" sheetId="10" r:id="rId9"/>
  </sheets>
  <definedNames>
    <definedName name="_xlnm._FilterDatabase" localSheetId="0" hidden="1">'Q1 A1'!$A$1:$E$21</definedName>
  </definedNames>
  <calcPr calcId="191029"/>
  <pivotCaches>
    <pivotCache cacheId="29" r:id="rId10"/>
    <pivotCache cacheId="33" r:id="rId11"/>
    <pivotCache cacheId="37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7" l="1"/>
  <c r="G6" i="7"/>
</calcChain>
</file>

<file path=xl/sharedStrings.xml><?xml version="1.0" encoding="utf-8"?>
<sst xmlns="http://schemas.openxmlformats.org/spreadsheetml/2006/main" count="307" uniqueCount="149">
  <si>
    <t>Order ID</t>
  </si>
  <si>
    <t>Customer Name</t>
  </si>
  <si>
    <t>Product</t>
  </si>
  <si>
    <t>Region</t>
  </si>
  <si>
    <t>Sales</t>
  </si>
  <si>
    <t>ORD-101</t>
  </si>
  <si>
    <t>Rahul Patel</t>
  </si>
  <si>
    <t>Laptop</t>
  </si>
  <si>
    <t>West</t>
  </si>
  <si>
    <t>ORD-102</t>
  </si>
  <si>
    <t>Priya Shah</t>
  </si>
  <si>
    <t>Chair</t>
  </si>
  <si>
    <t>East</t>
  </si>
  <si>
    <t>ORD-103</t>
  </si>
  <si>
    <t>Amit Kumar</t>
  </si>
  <si>
    <t>Phone</t>
  </si>
  <si>
    <t>Central</t>
  </si>
  <si>
    <t>ORD-104</t>
  </si>
  <si>
    <t>Neha Sharma</t>
  </si>
  <si>
    <t>Table</t>
  </si>
  <si>
    <t>South</t>
  </si>
  <si>
    <t>ORD-105</t>
  </si>
  <si>
    <t>Rohan Mehta</t>
  </si>
  <si>
    <t>Printer</t>
  </si>
  <si>
    <t>Desk</t>
  </si>
  <si>
    <t>ORD-106</t>
  </si>
  <si>
    <t>Simran Kaur</t>
  </si>
  <si>
    <t>Keyboard</t>
  </si>
  <si>
    <t>ORD-107</t>
  </si>
  <si>
    <t>Arjun Singh</t>
  </si>
  <si>
    <t>Monitor</t>
  </si>
  <si>
    <t>ORD-108</t>
  </si>
  <si>
    <t>Pooja Verma</t>
  </si>
  <si>
    <t>Mouse</t>
  </si>
  <si>
    <t>Headphones</t>
  </si>
  <si>
    <t>ORD-109</t>
  </si>
  <si>
    <t>Karan Joshi</t>
  </si>
  <si>
    <t>ORD-110</t>
  </si>
  <si>
    <t>Anjali Desai</t>
  </si>
  <si>
    <t>Paper</t>
  </si>
  <si>
    <t>ORD-111</t>
  </si>
  <si>
    <t>Vikas Yadav</t>
  </si>
  <si>
    <t>ORD-112</t>
  </si>
  <si>
    <t>Sneha Rao</t>
  </si>
  <si>
    <t>ORD-113</t>
  </si>
  <si>
    <t>Mehul Jain</t>
  </si>
  <si>
    <t>ORD-114</t>
  </si>
  <si>
    <t>Kavya Patel</t>
  </si>
  <si>
    <t>ORD-115</t>
  </si>
  <si>
    <t>Deep Shah</t>
  </si>
  <si>
    <t>Row Labels</t>
  </si>
  <si>
    <t>Grand Total</t>
  </si>
  <si>
    <t>Sum of Sales</t>
  </si>
  <si>
    <t>Profit</t>
  </si>
  <si>
    <t>ORD-116</t>
  </si>
  <si>
    <t>ORD-117</t>
  </si>
  <si>
    <t>ORD-118</t>
  </si>
  <si>
    <t>ORD-119</t>
  </si>
  <si>
    <t>ORD-120</t>
  </si>
  <si>
    <t>Sum of Profit</t>
  </si>
  <si>
    <t>Q2</t>
  </si>
  <si>
    <t>Discount</t>
  </si>
  <si>
    <t>ORD-201</t>
  </si>
  <si>
    <t>ORD-202</t>
  </si>
  <si>
    <t>ORD-203</t>
  </si>
  <si>
    <t>ORD-204</t>
  </si>
  <si>
    <t>ORD-205</t>
  </si>
  <si>
    <t>ORD-206</t>
  </si>
  <si>
    <t>ORD-207</t>
  </si>
  <si>
    <t>ORD-208</t>
  </si>
  <si>
    <t>ORD-209</t>
  </si>
  <si>
    <t>ORD-210</t>
  </si>
  <si>
    <t>ORD-211</t>
  </si>
  <si>
    <t>ORD-212</t>
  </si>
  <si>
    <t>ORD-213</t>
  </si>
  <si>
    <t>ORD-214</t>
  </si>
  <si>
    <t>ORD-215</t>
  </si>
  <si>
    <t>Order Date</t>
  </si>
  <si>
    <t>Category</t>
  </si>
  <si>
    <t>ORD-301</t>
  </si>
  <si>
    <t>Furniture</t>
  </si>
  <si>
    <t>ORD-302</t>
  </si>
  <si>
    <t>Technology</t>
  </si>
  <si>
    <t>ORD-303</t>
  </si>
  <si>
    <t>Office Supplies</t>
  </si>
  <si>
    <t>ORD-304</t>
  </si>
  <si>
    <t>ORD-305</t>
  </si>
  <si>
    <t>ORD-306</t>
  </si>
  <si>
    <t>Binder</t>
  </si>
  <si>
    <t>ORD-307</t>
  </si>
  <si>
    <t>Bookcase</t>
  </si>
  <si>
    <t>ORD-308</t>
  </si>
  <si>
    <t>ORD-309</t>
  </si>
  <si>
    <t>Pen</t>
  </si>
  <si>
    <t>ORD-310</t>
  </si>
  <si>
    <t>ORD-311</t>
  </si>
  <si>
    <t>ORD-312</t>
  </si>
  <si>
    <t>Storage Box</t>
  </si>
  <si>
    <t>ORD-313</t>
  </si>
  <si>
    <t>13-09-2026</t>
  </si>
  <si>
    <t>ORD-314</t>
  </si>
  <si>
    <t>14-09-2026</t>
  </si>
  <si>
    <t>ORD-315</t>
  </si>
  <si>
    <t>15-09-2026</t>
  </si>
  <si>
    <t>Labels</t>
  </si>
  <si>
    <t>ORD-316</t>
  </si>
  <si>
    <t>16-09-2026</t>
  </si>
  <si>
    <t>ORD-317</t>
  </si>
  <si>
    <t>17-09-2026</t>
  </si>
  <si>
    <t>ORD-318</t>
  </si>
  <si>
    <t>18-09-2026</t>
  </si>
  <si>
    <t>Envelopes</t>
  </si>
  <si>
    <t>ORD-319</t>
  </si>
  <si>
    <t>19-09-2026</t>
  </si>
  <si>
    <t>Sofa</t>
  </si>
  <si>
    <t>ORD-320</t>
  </si>
  <si>
    <t>20-09-2026</t>
  </si>
  <si>
    <t>Webcam</t>
  </si>
  <si>
    <t>SUPERSTORE SALES DASHBOARD</t>
  </si>
  <si>
    <t>TOTAL SALES</t>
  </si>
  <si>
    <t>TOTAL PROFIT</t>
  </si>
  <si>
    <t>Sub-Category</t>
  </si>
  <si>
    <t>ORD-401</t>
  </si>
  <si>
    <t>Phones</t>
  </si>
  <si>
    <t>ORD-402</t>
  </si>
  <si>
    <t>Chairs</t>
  </si>
  <si>
    <t>ORD-403</t>
  </si>
  <si>
    <t>Storage</t>
  </si>
  <si>
    <t>ORD-404</t>
  </si>
  <si>
    <t>Accessories</t>
  </si>
  <si>
    <t>ORD-405</t>
  </si>
  <si>
    <t>Binders</t>
  </si>
  <si>
    <t>ORD-406</t>
  </si>
  <si>
    <t>ORD-407</t>
  </si>
  <si>
    <t>ORD-408</t>
  </si>
  <si>
    <t>Tables</t>
  </si>
  <si>
    <t>ORD-409</t>
  </si>
  <si>
    <t>ORD-410</t>
  </si>
  <si>
    <t>Copiers</t>
  </si>
  <si>
    <t>ORD-411</t>
  </si>
  <si>
    <t>ORD-412</t>
  </si>
  <si>
    <t>ORD-413</t>
  </si>
  <si>
    <t>ORD-414</t>
  </si>
  <si>
    <t>ORD-415</t>
  </si>
  <si>
    <t>ORD-416</t>
  </si>
  <si>
    <t>ORD-417</t>
  </si>
  <si>
    <t>ORD-418</t>
  </si>
  <si>
    <t>ORD-419</t>
  </si>
  <si>
    <t>ORD-420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</si>
</sst>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₹-439]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3" fillId="4" borderId="0" xfId="0" applyFont="1" applyFill="1"/>
    <xf numFmtId="170" fontId="1" fillId="4" borderId="0" xfId="0" applyNumberFormat="1" applyFont="1" applyFill="1"/>
    <xf numFmtId="170" fontId="3" fillId="4" borderId="0" xfId="0" applyNumberFormat="1" applyFont="1" applyFill="1"/>
    <xf numFmtId="170" fontId="4" fillId="4" borderId="0" xfId="0" applyNumberFormat="1" applyFont="1" applyFill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10.1.xlsx]Sheet8!PivotTable12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6000</c:v>
                </c:pt>
                <c:pt idx="1">
                  <c:v>1120</c:v>
                </c:pt>
                <c:pt idx="2">
                  <c:v>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2-461B-BCDF-7778B9E47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17334015"/>
        <c:axId val="1917330175"/>
      </c:barChart>
      <c:catAx>
        <c:axId val="191733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30175"/>
        <c:crosses val="autoZero"/>
        <c:auto val="1"/>
        <c:lblAlgn val="ctr"/>
        <c:lblOffset val="100"/>
        <c:noMultiLvlLbl val="0"/>
      </c:catAx>
      <c:valAx>
        <c:axId val="191733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3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10.1.xlsx]Sheet8!PivotTable12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6000</c:v>
                </c:pt>
                <c:pt idx="1">
                  <c:v>1120</c:v>
                </c:pt>
                <c:pt idx="2">
                  <c:v>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2-482C-B050-E054F3469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17343615"/>
        <c:axId val="1917346495"/>
      </c:barChart>
      <c:catAx>
        <c:axId val="1917343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46495"/>
        <c:crosses val="autoZero"/>
        <c:auto val="1"/>
        <c:lblAlgn val="ctr"/>
        <c:lblOffset val="100"/>
        <c:noMultiLvlLbl val="0"/>
      </c:catAx>
      <c:valAx>
        <c:axId val="191734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4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1</xdr:row>
      <xdr:rowOff>139700</xdr:rowOff>
    </xdr:from>
    <xdr:to>
      <xdr:col>9</xdr:col>
      <xdr:colOff>508000</xdr:colOff>
      <xdr:row>16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F757B5-EF18-0D00-C49F-4708C7E5B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605466</xdr:colOff>
      <xdr:row>8</xdr:row>
      <xdr:rowOff>7384</xdr:rowOff>
    </xdr:from>
    <xdr:to>
      <xdr:col>9</xdr:col>
      <xdr:colOff>1854791</xdr:colOff>
      <xdr:row>22</xdr:row>
      <xdr:rowOff>166282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475E6-E562-4C95-A600-F6B4B3F4B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9.534222800925" createdVersion="8" refreshedVersion="8" minRefreshableVersion="3" recordCount="20" xr:uid="{1A96D0BC-F8DE-48EF-A971-FB92F4127551}">
  <cacheSource type="worksheet">
    <worksheetSource ref="A1:D21" sheet="Q2"/>
  </cacheSource>
  <cacheFields count="4">
    <cacheField name="Order ID" numFmtId="0">
      <sharedItems/>
    </cacheField>
    <cacheField name="Region" numFmtId="0">
      <sharedItems count="4">
        <s v="West"/>
        <s v="East"/>
        <s v="Central"/>
        <s v="South"/>
      </sharedItems>
    </cacheField>
    <cacheField name="Sales" numFmtId="0">
      <sharedItems containsSemiMixedTypes="0" containsString="0" containsNumber="1" containsInteger="1" minValue="500" maxValue="1800"/>
    </cacheField>
    <cacheField name="Profit" numFmtId="0">
      <sharedItems containsSemiMixedTypes="0" containsString="0" containsNumber="1" containsInteger="1" minValue="-1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9.552333796295" createdVersion="8" refreshedVersion="8" minRefreshableVersion="3" recordCount="20" xr:uid="{A36B5B5C-1A5C-42B6-B043-76FD3EDCF2FD}">
  <cacheSource type="worksheet">
    <worksheetSource ref="A1:F21" sheet="Q4"/>
  </cacheSource>
  <cacheFields count="6">
    <cacheField name="Order ID" numFmtId="0">
      <sharedItems/>
    </cacheField>
    <cacheField name="Order Date" numFmtId="0">
      <sharedItems containsDate="1" containsMixedTypes="1" minDate="2026-01-09T00:00:00" maxDate="2026-12-10T00:00:00"/>
    </cacheField>
    <cacheField name="Category" numFmtId="0">
      <sharedItems count="3">
        <s v="Furniture"/>
        <s v="Technology"/>
        <s v="Office Supplies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00" maxValue="1500"/>
    </cacheField>
    <cacheField name="Profit" numFmtId="0">
      <sharedItems containsSemiMixedTypes="0" containsString="0" containsNumber="1" containsInteger="1" minValue="3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9.556377777779" createdVersion="8" refreshedVersion="8" minRefreshableVersion="3" recordCount="20" xr:uid="{DC769109-9E66-448B-8E91-CF3301AAB080}">
  <cacheSource type="worksheet">
    <worksheetSource ref="A1:D21" sheet="Q5"/>
  </cacheSource>
  <cacheFields count="4">
    <cacheField name="Order ID" numFmtId="0">
      <sharedItems/>
    </cacheField>
    <cacheField name="Sub-Category" numFmtId="0">
      <sharedItems count="7">
        <s v="Phones"/>
        <s v="Chairs"/>
        <s v="Storage"/>
        <s v="Accessories"/>
        <s v="Binders"/>
        <s v="Tables"/>
        <s v="Copiers"/>
      </sharedItems>
    </cacheField>
    <cacheField name="Sales" numFmtId="0">
      <sharedItems containsSemiMixedTypes="0" containsString="0" containsNumber="1" containsInteger="1" minValue="300" maxValue="1500"/>
    </cacheField>
    <cacheField name="Profit" numFmtId="0">
      <sharedItems containsSemiMixedTypes="0" containsString="0" containsNumber="1" containsInteger="1" minValue="7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-101"/>
    <x v="0"/>
    <n v="1200"/>
    <n v="250"/>
  </r>
  <r>
    <s v="ORD-102"/>
    <x v="1"/>
    <n v="800"/>
    <n v="150"/>
  </r>
  <r>
    <s v="ORD-103"/>
    <x v="2"/>
    <n v="600"/>
    <n v="-50"/>
  </r>
  <r>
    <s v="ORD-104"/>
    <x v="3"/>
    <n v="900"/>
    <n v="200"/>
  </r>
  <r>
    <s v="ORD-105"/>
    <x v="0"/>
    <n v="1500"/>
    <n v="350"/>
  </r>
  <r>
    <s v="ORD-106"/>
    <x v="1"/>
    <n v="700"/>
    <n v="100"/>
  </r>
  <r>
    <s v="ORD-107"/>
    <x v="2"/>
    <n v="1100"/>
    <n v="300"/>
  </r>
  <r>
    <s v="ORD-108"/>
    <x v="3"/>
    <n v="500"/>
    <n v="-100"/>
  </r>
  <r>
    <s v="ORD-109"/>
    <x v="0"/>
    <n v="950"/>
    <n v="180"/>
  </r>
  <r>
    <s v="ORD-110"/>
    <x v="1"/>
    <n v="1300"/>
    <n v="400"/>
  </r>
  <r>
    <s v="ORD-111"/>
    <x v="2"/>
    <n v="750"/>
    <n v="120"/>
  </r>
  <r>
    <s v="ORD-112"/>
    <x v="3"/>
    <n v="1200"/>
    <n v="250"/>
  </r>
  <r>
    <s v="ORD-113"/>
    <x v="0"/>
    <n v="650"/>
    <n v="-80"/>
  </r>
  <r>
    <s v="ORD-114"/>
    <x v="1"/>
    <n v="1000"/>
    <n v="220"/>
  </r>
  <r>
    <s v="ORD-115"/>
    <x v="2"/>
    <n v="1400"/>
    <n v="450"/>
  </r>
  <r>
    <s v="ORD-116"/>
    <x v="3"/>
    <n v="850"/>
    <n v="160"/>
  </r>
  <r>
    <s v="ORD-117"/>
    <x v="0"/>
    <n v="1800"/>
    <n v="500"/>
  </r>
  <r>
    <s v="ORD-118"/>
    <x v="1"/>
    <n v="550"/>
    <n v="-40"/>
  </r>
  <r>
    <s v="ORD-119"/>
    <x v="2"/>
    <n v="900"/>
    <n v="200"/>
  </r>
  <r>
    <s v="ORD-120"/>
    <x v="3"/>
    <n v="1600"/>
    <n v="3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-301"/>
    <d v="2026-01-09T00:00:00"/>
    <x v="0"/>
    <s v="Chair"/>
    <n v="450"/>
    <n v="80"/>
  </r>
  <r>
    <s v="ORD-302"/>
    <d v="2026-02-09T00:00:00"/>
    <x v="1"/>
    <s v="Laptop"/>
    <n v="1200"/>
    <n v="250"/>
  </r>
  <r>
    <s v="ORD-303"/>
    <d v="2026-03-09T00:00:00"/>
    <x v="2"/>
    <s v="Paper"/>
    <n v="150"/>
    <n v="40"/>
  </r>
  <r>
    <s v="ORD-304"/>
    <d v="2026-04-09T00:00:00"/>
    <x v="0"/>
    <s v="Table"/>
    <n v="700"/>
    <n v="120"/>
  </r>
  <r>
    <s v="ORD-305"/>
    <d v="2026-05-09T00:00:00"/>
    <x v="1"/>
    <s v="Monitor"/>
    <n v="850"/>
    <n v="180"/>
  </r>
  <r>
    <s v="ORD-306"/>
    <d v="2026-06-09T00:00:00"/>
    <x v="2"/>
    <s v="Binder"/>
    <n v="220"/>
    <n v="60"/>
  </r>
  <r>
    <s v="ORD-307"/>
    <d v="2026-07-09T00:00:00"/>
    <x v="0"/>
    <s v="Bookcase"/>
    <n v="900"/>
    <n v="150"/>
  </r>
  <r>
    <s v="ORD-308"/>
    <d v="2026-08-09T00:00:00"/>
    <x v="1"/>
    <s v="Keyboard"/>
    <n v="300"/>
    <n v="70"/>
  </r>
  <r>
    <s v="ORD-309"/>
    <d v="2026-09-09T00:00:00"/>
    <x v="2"/>
    <s v="Pen"/>
    <n v="100"/>
    <n v="30"/>
  </r>
  <r>
    <s v="ORD-310"/>
    <d v="2026-10-09T00:00:00"/>
    <x v="0"/>
    <s v="Chair"/>
    <n v="550"/>
    <n v="100"/>
  </r>
  <r>
    <s v="ORD-311"/>
    <d v="2026-11-09T00:00:00"/>
    <x v="1"/>
    <s v="Phone"/>
    <n v="1000"/>
    <n v="220"/>
  </r>
  <r>
    <s v="ORD-312"/>
    <d v="2026-12-09T00:00:00"/>
    <x v="2"/>
    <s v="Storage Box"/>
    <n v="350"/>
    <n v="90"/>
  </r>
  <r>
    <s v="ORD-313"/>
    <s v="13-09-2026"/>
    <x v="0"/>
    <s v="Desk"/>
    <n v="1100"/>
    <n v="200"/>
  </r>
  <r>
    <s v="ORD-314"/>
    <s v="14-09-2026"/>
    <x v="1"/>
    <s v="Printer"/>
    <n v="650"/>
    <n v="140"/>
  </r>
  <r>
    <s v="ORD-315"/>
    <s v="15-09-2026"/>
    <x v="2"/>
    <s v="Labels"/>
    <n v="180"/>
    <n v="50"/>
  </r>
  <r>
    <s v="ORD-316"/>
    <s v="16-09-2026"/>
    <x v="0"/>
    <s v="Table"/>
    <n v="800"/>
    <n v="130"/>
  </r>
  <r>
    <s v="ORD-317"/>
    <s v="17-09-2026"/>
    <x v="1"/>
    <s v="Headphones"/>
    <n v="400"/>
    <n v="100"/>
  </r>
  <r>
    <s v="ORD-318"/>
    <s v="18-09-2026"/>
    <x v="2"/>
    <s v="Envelopes"/>
    <n v="120"/>
    <n v="35"/>
  </r>
  <r>
    <s v="ORD-319"/>
    <s v="19-09-2026"/>
    <x v="0"/>
    <s v="Sofa"/>
    <n v="1500"/>
    <n v="300"/>
  </r>
  <r>
    <s v="ORD-320"/>
    <s v="20-09-2026"/>
    <x v="1"/>
    <s v="Webcam"/>
    <n v="500"/>
    <n v="1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-401"/>
    <x v="0"/>
    <n v="1200"/>
    <n v="300"/>
  </r>
  <r>
    <s v="ORD-402"/>
    <x v="1"/>
    <n v="800"/>
    <n v="180"/>
  </r>
  <r>
    <s v="ORD-403"/>
    <x v="2"/>
    <n v="500"/>
    <n v="100"/>
  </r>
  <r>
    <s v="ORD-404"/>
    <x v="3"/>
    <n v="600"/>
    <n v="150"/>
  </r>
  <r>
    <s v="ORD-405"/>
    <x v="4"/>
    <n v="300"/>
    <n v="70"/>
  </r>
  <r>
    <s v="ORD-406"/>
    <x v="0"/>
    <n v="1500"/>
    <n v="400"/>
  </r>
  <r>
    <s v="ORD-407"/>
    <x v="1"/>
    <n v="900"/>
    <n v="220"/>
  </r>
  <r>
    <s v="ORD-408"/>
    <x v="5"/>
    <n v="1000"/>
    <n v="120"/>
  </r>
  <r>
    <s v="ORD-409"/>
    <x v="3"/>
    <n v="700"/>
    <n v="170"/>
  </r>
  <r>
    <s v="ORD-410"/>
    <x v="6"/>
    <n v="1300"/>
    <n v="350"/>
  </r>
  <r>
    <s v="ORD-411"/>
    <x v="0"/>
    <n v="900"/>
    <n v="250"/>
  </r>
  <r>
    <s v="ORD-412"/>
    <x v="4"/>
    <n v="450"/>
    <n v="90"/>
  </r>
  <r>
    <s v="ORD-413"/>
    <x v="1"/>
    <n v="1100"/>
    <n v="280"/>
  </r>
  <r>
    <s v="ORD-414"/>
    <x v="6"/>
    <n v="800"/>
    <n v="200"/>
  </r>
  <r>
    <s v="ORD-415"/>
    <x v="5"/>
    <n v="1200"/>
    <n v="140"/>
  </r>
  <r>
    <s v="ORD-416"/>
    <x v="3"/>
    <n v="500"/>
    <n v="130"/>
  </r>
  <r>
    <s v="ORD-417"/>
    <x v="0"/>
    <n v="700"/>
    <n v="180"/>
  </r>
  <r>
    <s v="ORD-418"/>
    <x v="1"/>
    <n v="600"/>
    <n v="150"/>
  </r>
  <r>
    <s v="ORD-419"/>
    <x v="6"/>
    <n v="1000"/>
    <n v="270"/>
  </r>
  <r>
    <s v="ORD-420"/>
    <x v="2"/>
    <n v="650"/>
    <n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662B6-C968-454F-BF9C-EE035B1208EB}" name="PivotTable1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4">
    <pivotField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3" baseField="0" baseItem="0"/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16336-4259-4184-BC59-B9D0EE12D930}" name="PivotTable1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6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C224A-B787-48DC-99DA-A9C25FDA5847}" name="PivotTable1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showAll="0"/>
    <pivotField axis="axisRow" showAll="0" measureFilter="1" sortType="descending">
      <items count="8">
        <item x="5"/>
        <item x="2"/>
        <item x="0"/>
        <item x="6"/>
        <item x="1"/>
        <item x="4"/>
        <item x="3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Sum of Profit" fld="3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05CB-4AFC-4AFE-A03D-227350007E25}">
  <dimension ref="A1:E21"/>
  <sheetViews>
    <sheetView workbookViewId="0">
      <selection sqref="A1:E21"/>
    </sheetView>
  </sheetViews>
  <sheetFormatPr defaultRowHeight="14.5" x14ac:dyDescent="0.35"/>
  <cols>
    <col min="2" max="2" width="16.8164062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4" t="s">
        <v>5</v>
      </c>
      <c r="B2" s="4" t="s">
        <v>6</v>
      </c>
      <c r="C2" s="4" t="s">
        <v>7</v>
      </c>
      <c r="D2" s="4" t="s">
        <v>8</v>
      </c>
      <c r="E2" s="4">
        <v>1200</v>
      </c>
    </row>
    <row r="3" spans="1:5" x14ac:dyDescent="0.35">
      <c r="A3" s="4" t="s">
        <v>9</v>
      </c>
      <c r="B3" s="4" t="s">
        <v>10</v>
      </c>
      <c r="C3" s="4" t="s">
        <v>11</v>
      </c>
      <c r="D3" s="4" t="s">
        <v>12</v>
      </c>
      <c r="E3" s="4">
        <v>250</v>
      </c>
    </row>
    <row r="4" spans="1:5" x14ac:dyDescent="0.35">
      <c r="A4" s="4" t="s">
        <v>13</v>
      </c>
      <c r="B4" s="4" t="s">
        <v>14</v>
      </c>
      <c r="C4" s="4" t="s">
        <v>15</v>
      </c>
      <c r="D4" s="4" t="s">
        <v>16</v>
      </c>
      <c r="E4" s="4">
        <v>800</v>
      </c>
    </row>
    <row r="5" spans="1:5" x14ac:dyDescent="0.35">
      <c r="A5" s="4" t="s">
        <v>17</v>
      </c>
      <c r="B5" s="4" t="s">
        <v>18</v>
      </c>
      <c r="C5" s="4" t="s">
        <v>19</v>
      </c>
      <c r="D5" s="4" t="s">
        <v>20</v>
      </c>
      <c r="E5" s="4">
        <v>450</v>
      </c>
    </row>
    <row r="6" spans="1:5" x14ac:dyDescent="0.35">
      <c r="A6" s="4" t="s">
        <v>21</v>
      </c>
      <c r="B6" s="4" t="s">
        <v>22</v>
      </c>
      <c r="C6" s="4" t="s">
        <v>23</v>
      </c>
      <c r="D6" s="4" t="s">
        <v>8</v>
      </c>
      <c r="E6" s="4">
        <v>300</v>
      </c>
    </row>
    <row r="7" spans="1:5" x14ac:dyDescent="0.35">
      <c r="A7" s="4" t="s">
        <v>9</v>
      </c>
      <c r="B7" s="4" t="s">
        <v>10</v>
      </c>
      <c r="C7" s="4" t="s">
        <v>24</v>
      </c>
      <c r="D7" s="4" t="s">
        <v>12</v>
      </c>
      <c r="E7" s="4">
        <v>500</v>
      </c>
    </row>
    <row r="8" spans="1:5" x14ac:dyDescent="0.35">
      <c r="A8" s="4" t="s">
        <v>25</v>
      </c>
      <c r="B8" s="4" t="s">
        <v>26</v>
      </c>
      <c r="C8" s="4" t="s">
        <v>27</v>
      </c>
      <c r="D8" s="4" t="s">
        <v>16</v>
      </c>
      <c r="E8" s="4">
        <v>100</v>
      </c>
    </row>
    <row r="9" spans="1:5" x14ac:dyDescent="0.35">
      <c r="A9" s="4" t="s">
        <v>28</v>
      </c>
      <c r="B9" s="4" t="s">
        <v>29</v>
      </c>
      <c r="C9" s="4" t="s">
        <v>30</v>
      </c>
      <c r="D9" s="4" t="s">
        <v>20</v>
      </c>
      <c r="E9" s="4">
        <v>600</v>
      </c>
    </row>
    <row r="10" spans="1:5" x14ac:dyDescent="0.35">
      <c r="A10" s="4" t="s">
        <v>31</v>
      </c>
      <c r="B10" s="4" t="s">
        <v>32</v>
      </c>
      <c r="C10" s="4" t="s">
        <v>33</v>
      </c>
      <c r="D10" s="4" t="s">
        <v>8</v>
      </c>
      <c r="E10" s="4">
        <v>50</v>
      </c>
    </row>
    <row r="11" spans="1:5" ht="29" x14ac:dyDescent="0.35">
      <c r="A11" s="4" t="s">
        <v>13</v>
      </c>
      <c r="B11" s="4" t="s">
        <v>14</v>
      </c>
      <c r="C11" s="4" t="s">
        <v>34</v>
      </c>
      <c r="D11" s="4" t="s">
        <v>16</v>
      </c>
      <c r="E11" s="4">
        <v>150</v>
      </c>
    </row>
    <row r="12" spans="1:5" x14ac:dyDescent="0.35">
      <c r="A12" s="4" t="s">
        <v>35</v>
      </c>
      <c r="B12" s="4" t="s">
        <v>36</v>
      </c>
      <c r="C12" s="4" t="s">
        <v>7</v>
      </c>
      <c r="D12" s="4" t="s">
        <v>12</v>
      </c>
      <c r="E12" s="4">
        <v>1100</v>
      </c>
    </row>
    <row r="13" spans="1:5" x14ac:dyDescent="0.35">
      <c r="A13" s="4" t="s">
        <v>37</v>
      </c>
      <c r="B13" s="4" t="s">
        <v>38</v>
      </c>
      <c r="C13" s="4" t="s">
        <v>11</v>
      </c>
      <c r="D13" s="4" t="s">
        <v>20</v>
      </c>
      <c r="E13" s="4">
        <v>280</v>
      </c>
    </row>
    <row r="14" spans="1:5" x14ac:dyDescent="0.35">
      <c r="A14" s="4" t="s">
        <v>21</v>
      </c>
      <c r="B14" s="4" t="s">
        <v>22</v>
      </c>
      <c r="C14" s="4" t="s">
        <v>39</v>
      </c>
      <c r="D14" s="4" t="s">
        <v>8</v>
      </c>
      <c r="E14" s="4">
        <v>40</v>
      </c>
    </row>
    <row r="15" spans="1:5" x14ac:dyDescent="0.35">
      <c r="A15" s="4" t="s">
        <v>40</v>
      </c>
      <c r="B15" s="4" t="s">
        <v>41</v>
      </c>
      <c r="C15" s="4" t="s">
        <v>23</v>
      </c>
      <c r="D15" s="4" t="s">
        <v>16</v>
      </c>
      <c r="E15" s="4">
        <v>350</v>
      </c>
    </row>
    <row r="16" spans="1:5" x14ac:dyDescent="0.35">
      <c r="A16" s="4" t="s">
        <v>42</v>
      </c>
      <c r="B16" s="4" t="s">
        <v>43</v>
      </c>
      <c r="C16" s="4" t="s">
        <v>15</v>
      </c>
      <c r="D16" s="4" t="s">
        <v>12</v>
      </c>
      <c r="E16" s="4">
        <v>900</v>
      </c>
    </row>
    <row r="17" spans="1:5" x14ac:dyDescent="0.35">
      <c r="A17" s="4" t="s">
        <v>28</v>
      </c>
      <c r="B17" s="4" t="s">
        <v>29</v>
      </c>
      <c r="C17" s="4" t="s">
        <v>19</v>
      </c>
      <c r="D17" s="4" t="s">
        <v>20</v>
      </c>
      <c r="E17" s="4">
        <v>700</v>
      </c>
    </row>
    <row r="18" spans="1:5" x14ac:dyDescent="0.35">
      <c r="A18" s="4" t="s">
        <v>44</v>
      </c>
      <c r="B18" s="4" t="s">
        <v>45</v>
      </c>
      <c r="C18" s="4" t="s">
        <v>27</v>
      </c>
      <c r="D18" s="4" t="s">
        <v>8</v>
      </c>
      <c r="E18" s="4">
        <v>120</v>
      </c>
    </row>
    <row r="19" spans="1:5" x14ac:dyDescent="0.35">
      <c r="A19" s="4" t="s">
        <v>46</v>
      </c>
      <c r="B19" s="4" t="s">
        <v>47</v>
      </c>
      <c r="C19" s="4" t="s">
        <v>30</v>
      </c>
      <c r="D19" s="4" t="s">
        <v>16</v>
      </c>
      <c r="E19" s="4">
        <v>650</v>
      </c>
    </row>
    <row r="20" spans="1:5" x14ac:dyDescent="0.35">
      <c r="A20" s="4" t="s">
        <v>48</v>
      </c>
      <c r="B20" s="4" t="s">
        <v>49</v>
      </c>
      <c r="C20" s="4" t="s">
        <v>33</v>
      </c>
      <c r="D20" s="4" t="s">
        <v>12</v>
      </c>
      <c r="E20" s="4">
        <v>60</v>
      </c>
    </row>
    <row r="21" spans="1:5" x14ac:dyDescent="0.35">
      <c r="A21" s="4" t="s">
        <v>5</v>
      </c>
      <c r="B21" s="4" t="s">
        <v>6</v>
      </c>
      <c r="C21" s="4" t="s">
        <v>24</v>
      </c>
      <c r="D21" s="4" t="s">
        <v>8</v>
      </c>
      <c r="E21" s="4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C503-ABAA-4633-B281-9DDA779E2C53}">
  <dimension ref="A1:D21"/>
  <sheetViews>
    <sheetView workbookViewId="0">
      <selection sqref="A1:D21"/>
    </sheetView>
  </sheetViews>
  <sheetFormatPr defaultRowHeight="14.5" x14ac:dyDescent="0.35"/>
  <sheetData>
    <row r="1" spans="1:4" x14ac:dyDescent="0.35">
      <c r="A1" s="8" t="s">
        <v>60</v>
      </c>
      <c r="B1" s="8" t="s">
        <v>3</v>
      </c>
      <c r="C1" s="8" t="s">
        <v>4</v>
      </c>
      <c r="D1" s="8" t="s">
        <v>53</v>
      </c>
    </row>
    <row r="2" spans="1:4" x14ac:dyDescent="0.35">
      <c r="A2" s="4" t="s">
        <v>5</v>
      </c>
      <c r="B2" s="4" t="s">
        <v>8</v>
      </c>
      <c r="C2" s="4">
        <v>1200</v>
      </c>
      <c r="D2" s="4">
        <v>250</v>
      </c>
    </row>
    <row r="3" spans="1:4" x14ac:dyDescent="0.35">
      <c r="A3" s="4" t="s">
        <v>9</v>
      </c>
      <c r="B3" s="4" t="s">
        <v>12</v>
      </c>
      <c r="C3" s="4">
        <v>800</v>
      </c>
      <c r="D3" s="4">
        <v>150</v>
      </c>
    </row>
    <row r="4" spans="1:4" x14ac:dyDescent="0.35">
      <c r="A4" s="4" t="s">
        <v>13</v>
      </c>
      <c r="B4" s="4" t="s">
        <v>16</v>
      </c>
      <c r="C4" s="4">
        <v>600</v>
      </c>
      <c r="D4" s="4">
        <v>-50</v>
      </c>
    </row>
    <row r="5" spans="1:4" x14ac:dyDescent="0.35">
      <c r="A5" s="4" t="s">
        <v>17</v>
      </c>
      <c r="B5" s="4" t="s">
        <v>20</v>
      </c>
      <c r="C5" s="4">
        <v>900</v>
      </c>
      <c r="D5" s="4">
        <v>200</v>
      </c>
    </row>
    <row r="6" spans="1:4" x14ac:dyDescent="0.35">
      <c r="A6" s="4" t="s">
        <v>21</v>
      </c>
      <c r="B6" s="4" t="s">
        <v>8</v>
      </c>
      <c r="C6" s="4">
        <v>1500</v>
      </c>
      <c r="D6" s="4">
        <v>350</v>
      </c>
    </row>
    <row r="7" spans="1:4" x14ac:dyDescent="0.35">
      <c r="A7" s="4" t="s">
        <v>25</v>
      </c>
      <c r="B7" s="4" t="s">
        <v>12</v>
      </c>
      <c r="C7" s="4">
        <v>700</v>
      </c>
      <c r="D7" s="4">
        <v>100</v>
      </c>
    </row>
    <row r="8" spans="1:4" x14ac:dyDescent="0.35">
      <c r="A8" s="4" t="s">
        <v>28</v>
      </c>
      <c r="B8" s="4" t="s">
        <v>16</v>
      </c>
      <c r="C8" s="4">
        <v>1100</v>
      </c>
      <c r="D8" s="4">
        <v>300</v>
      </c>
    </row>
    <row r="9" spans="1:4" x14ac:dyDescent="0.35">
      <c r="A9" s="4" t="s">
        <v>31</v>
      </c>
      <c r="B9" s="4" t="s">
        <v>20</v>
      </c>
      <c r="C9" s="4">
        <v>500</v>
      </c>
      <c r="D9" s="4">
        <v>-100</v>
      </c>
    </row>
    <row r="10" spans="1:4" x14ac:dyDescent="0.35">
      <c r="A10" s="4" t="s">
        <v>35</v>
      </c>
      <c r="B10" s="4" t="s">
        <v>8</v>
      </c>
      <c r="C10" s="4">
        <v>950</v>
      </c>
      <c r="D10" s="4">
        <v>180</v>
      </c>
    </row>
    <row r="11" spans="1:4" x14ac:dyDescent="0.35">
      <c r="A11" s="4" t="s">
        <v>37</v>
      </c>
      <c r="B11" s="4" t="s">
        <v>12</v>
      </c>
      <c r="C11" s="4">
        <v>1300</v>
      </c>
      <c r="D11" s="4">
        <v>400</v>
      </c>
    </row>
    <row r="12" spans="1:4" x14ac:dyDescent="0.35">
      <c r="A12" s="4" t="s">
        <v>40</v>
      </c>
      <c r="B12" s="4" t="s">
        <v>16</v>
      </c>
      <c r="C12" s="4">
        <v>750</v>
      </c>
      <c r="D12" s="4">
        <v>120</v>
      </c>
    </row>
    <row r="13" spans="1:4" x14ac:dyDescent="0.35">
      <c r="A13" s="4" t="s">
        <v>42</v>
      </c>
      <c r="B13" s="4" t="s">
        <v>20</v>
      </c>
      <c r="C13" s="4">
        <v>1200</v>
      </c>
      <c r="D13" s="4">
        <v>250</v>
      </c>
    </row>
    <row r="14" spans="1:4" x14ac:dyDescent="0.35">
      <c r="A14" s="4" t="s">
        <v>44</v>
      </c>
      <c r="B14" s="4" t="s">
        <v>8</v>
      </c>
      <c r="C14" s="4">
        <v>650</v>
      </c>
      <c r="D14" s="4">
        <v>-80</v>
      </c>
    </row>
    <row r="15" spans="1:4" x14ac:dyDescent="0.35">
      <c r="A15" s="4" t="s">
        <v>46</v>
      </c>
      <c r="B15" s="4" t="s">
        <v>12</v>
      </c>
      <c r="C15" s="4">
        <v>1000</v>
      </c>
      <c r="D15" s="4">
        <v>220</v>
      </c>
    </row>
    <row r="16" spans="1:4" x14ac:dyDescent="0.35">
      <c r="A16" s="4" t="s">
        <v>48</v>
      </c>
      <c r="B16" s="4" t="s">
        <v>16</v>
      </c>
      <c r="C16" s="4">
        <v>1400</v>
      </c>
      <c r="D16" s="4">
        <v>450</v>
      </c>
    </row>
    <row r="17" spans="1:4" x14ac:dyDescent="0.35">
      <c r="A17" s="4" t="s">
        <v>54</v>
      </c>
      <c r="B17" s="4" t="s">
        <v>20</v>
      </c>
      <c r="C17" s="4">
        <v>850</v>
      </c>
      <c r="D17" s="4">
        <v>160</v>
      </c>
    </row>
    <row r="18" spans="1:4" x14ac:dyDescent="0.35">
      <c r="A18" s="4" t="s">
        <v>55</v>
      </c>
      <c r="B18" s="4" t="s">
        <v>8</v>
      </c>
      <c r="C18" s="4">
        <v>1800</v>
      </c>
      <c r="D18" s="4">
        <v>500</v>
      </c>
    </row>
    <row r="19" spans="1:4" x14ac:dyDescent="0.35">
      <c r="A19" s="4" t="s">
        <v>56</v>
      </c>
      <c r="B19" s="4" t="s">
        <v>12</v>
      </c>
      <c r="C19" s="4">
        <v>550</v>
      </c>
      <c r="D19" s="4">
        <v>-40</v>
      </c>
    </row>
    <row r="20" spans="1:4" x14ac:dyDescent="0.35">
      <c r="A20" s="4" t="s">
        <v>57</v>
      </c>
      <c r="B20" s="4" t="s">
        <v>16</v>
      </c>
      <c r="C20" s="4">
        <v>900</v>
      </c>
      <c r="D20" s="4">
        <v>200</v>
      </c>
    </row>
    <row r="21" spans="1:4" x14ac:dyDescent="0.35">
      <c r="A21" s="4" t="s">
        <v>58</v>
      </c>
      <c r="B21" s="4" t="s">
        <v>20</v>
      </c>
      <c r="C21" s="4">
        <v>1600</v>
      </c>
      <c r="D21" s="4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D0A3-62DF-4951-A853-E51C2891A39C}">
  <dimension ref="A3:C8"/>
  <sheetViews>
    <sheetView workbookViewId="0">
      <selection activeCell="D8" sqref="D8"/>
    </sheetView>
  </sheetViews>
  <sheetFormatPr defaultRowHeight="14.5" x14ac:dyDescent="0.35"/>
  <cols>
    <col min="1" max="1" width="12.453125" bestFit="1" customWidth="1"/>
    <col min="2" max="3" width="11.54296875" bestFit="1" customWidth="1"/>
  </cols>
  <sheetData>
    <row r="3" spans="1:3" x14ac:dyDescent="0.35">
      <c r="A3" s="5" t="s">
        <v>50</v>
      </c>
      <c r="B3" t="s">
        <v>59</v>
      </c>
      <c r="C3" t="s">
        <v>52</v>
      </c>
    </row>
    <row r="4" spans="1:3" x14ac:dyDescent="0.35">
      <c r="A4" s="6" t="s">
        <v>16</v>
      </c>
      <c r="B4" s="7">
        <v>1020</v>
      </c>
      <c r="C4" s="7">
        <v>4750</v>
      </c>
    </row>
    <row r="5" spans="1:3" x14ac:dyDescent="0.35">
      <c r="A5" s="6" t="s">
        <v>12</v>
      </c>
      <c r="B5" s="7">
        <v>830</v>
      </c>
      <c r="C5" s="7">
        <v>4350</v>
      </c>
    </row>
    <row r="6" spans="1:3" x14ac:dyDescent="0.35">
      <c r="A6" s="6" t="s">
        <v>20</v>
      </c>
      <c r="B6" s="7">
        <v>890</v>
      </c>
      <c r="C6" s="7">
        <v>5050</v>
      </c>
    </row>
    <row r="7" spans="1:3" x14ac:dyDescent="0.35">
      <c r="A7" s="6" t="s">
        <v>8</v>
      </c>
      <c r="B7" s="7">
        <v>1200</v>
      </c>
      <c r="C7" s="7">
        <v>6100</v>
      </c>
    </row>
    <row r="8" spans="1:3" x14ac:dyDescent="0.35">
      <c r="A8" s="6" t="s">
        <v>51</v>
      </c>
      <c r="B8" s="7">
        <v>3940</v>
      </c>
      <c r="C8" s="7">
        <v>20250</v>
      </c>
    </row>
  </sheetData>
  <conditionalFormatting sqref="A4:C7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C114-6D69-4604-9189-A34250C8ECB7}">
  <dimension ref="A1:E16"/>
  <sheetViews>
    <sheetView workbookViewId="0">
      <selection sqref="A1:E1"/>
    </sheetView>
  </sheetViews>
  <sheetFormatPr defaultRowHeight="14.5" x14ac:dyDescent="0.35"/>
  <sheetData>
    <row r="1" spans="1:5" x14ac:dyDescent="0.35">
      <c r="A1" s="8" t="s">
        <v>0</v>
      </c>
      <c r="B1" s="8" t="s">
        <v>3</v>
      </c>
      <c r="C1" s="8" t="s">
        <v>4</v>
      </c>
      <c r="D1" s="8" t="s">
        <v>61</v>
      </c>
      <c r="E1" s="8" t="s">
        <v>53</v>
      </c>
    </row>
    <row r="2" spans="1:5" x14ac:dyDescent="0.35">
      <c r="A2" s="4" t="s">
        <v>62</v>
      </c>
      <c r="B2" s="4" t="s">
        <v>8</v>
      </c>
      <c r="C2" s="4">
        <v>1200</v>
      </c>
      <c r="D2" s="9">
        <v>0.1</v>
      </c>
      <c r="E2" s="4">
        <v>250</v>
      </c>
    </row>
    <row r="3" spans="1:5" x14ac:dyDescent="0.35">
      <c r="A3" s="4" t="s">
        <v>63</v>
      </c>
      <c r="B3" s="4" t="s">
        <v>12</v>
      </c>
      <c r="C3" s="4">
        <v>800</v>
      </c>
      <c r="D3" s="9">
        <v>0.25</v>
      </c>
      <c r="E3" s="4">
        <v>-50</v>
      </c>
    </row>
    <row r="4" spans="1:5" x14ac:dyDescent="0.35">
      <c r="A4" s="4" t="s">
        <v>64</v>
      </c>
      <c r="B4" s="4" t="s">
        <v>16</v>
      </c>
      <c r="C4" s="4">
        <v>600</v>
      </c>
      <c r="D4" s="9">
        <v>0.3</v>
      </c>
      <c r="E4" s="4">
        <v>-80</v>
      </c>
    </row>
    <row r="5" spans="1:5" x14ac:dyDescent="0.35">
      <c r="A5" s="4" t="s">
        <v>65</v>
      </c>
      <c r="B5" s="4" t="s">
        <v>20</v>
      </c>
      <c r="C5" s="4">
        <v>900</v>
      </c>
      <c r="D5" s="9">
        <v>0.15</v>
      </c>
      <c r="E5" s="4">
        <v>200</v>
      </c>
    </row>
    <row r="6" spans="1:5" x14ac:dyDescent="0.35">
      <c r="A6" s="4" t="s">
        <v>66</v>
      </c>
      <c r="B6" s="4" t="s">
        <v>8</v>
      </c>
      <c r="C6" s="4">
        <v>1500</v>
      </c>
      <c r="D6" s="9">
        <v>0.35</v>
      </c>
      <c r="E6" s="4">
        <v>-120</v>
      </c>
    </row>
    <row r="7" spans="1:5" x14ac:dyDescent="0.35">
      <c r="A7" s="4" t="s">
        <v>67</v>
      </c>
      <c r="B7" s="4" t="s">
        <v>12</v>
      </c>
      <c r="C7" s="4">
        <v>700</v>
      </c>
      <c r="D7" s="9">
        <v>0.22</v>
      </c>
      <c r="E7" s="4">
        <v>100</v>
      </c>
    </row>
    <row r="8" spans="1:5" x14ac:dyDescent="0.35">
      <c r="A8" s="4" t="s">
        <v>68</v>
      </c>
      <c r="B8" s="4" t="s">
        <v>16</v>
      </c>
      <c r="C8" s="4">
        <v>1100</v>
      </c>
      <c r="D8" s="9">
        <v>0.4</v>
      </c>
      <c r="E8" s="4">
        <v>-150</v>
      </c>
    </row>
    <row r="9" spans="1:5" x14ac:dyDescent="0.35">
      <c r="A9" s="4" t="s">
        <v>69</v>
      </c>
      <c r="B9" s="4" t="s">
        <v>20</v>
      </c>
      <c r="C9" s="4">
        <v>500</v>
      </c>
      <c r="D9" s="9">
        <v>0.1</v>
      </c>
      <c r="E9" s="4">
        <v>-100</v>
      </c>
    </row>
    <row r="10" spans="1:5" x14ac:dyDescent="0.35">
      <c r="A10" s="4" t="s">
        <v>70</v>
      </c>
      <c r="B10" s="4" t="s">
        <v>8</v>
      </c>
      <c r="C10" s="4">
        <v>950</v>
      </c>
      <c r="D10" s="9">
        <v>0.28000000000000003</v>
      </c>
      <c r="E10" s="4">
        <v>180</v>
      </c>
    </row>
    <row r="11" spans="1:5" x14ac:dyDescent="0.35">
      <c r="A11" s="4" t="s">
        <v>71</v>
      </c>
      <c r="B11" s="4" t="s">
        <v>12</v>
      </c>
      <c r="C11" s="4">
        <v>1300</v>
      </c>
      <c r="D11" s="9">
        <v>0.25</v>
      </c>
      <c r="E11" s="4">
        <v>-60</v>
      </c>
    </row>
    <row r="12" spans="1:5" x14ac:dyDescent="0.35">
      <c r="A12" s="4" t="s">
        <v>72</v>
      </c>
      <c r="B12" s="4" t="s">
        <v>16</v>
      </c>
      <c r="C12" s="4">
        <v>750</v>
      </c>
      <c r="D12" s="9">
        <v>0.18</v>
      </c>
      <c r="E12" s="4">
        <v>120</v>
      </c>
    </row>
    <row r="13" spans="1:5" x14ac:dyDescent="0.35">
      <c r="A13" s="4" t="s">
        <v>73</v>
      </c>
      <c r="B13" s="4" t="s">
        <v>20</v>
      </c>
      <c r="C13" s="4">
        <v>1200</v>
      </c>
      <c r="D13" s="9">
        <v>0.3</v>
      </c>
      <c r="E13" s="4">
        <v>-90</v>
      </c>
    </row>
    <row r="14" spans="1:5" x14ac:dyDescent="0.35">
      <c r="A14" s="4" t="s">
        <v>74</v>
      </c>
      <c r="B14" s="4" t="s">
        <v>8</v>
      </c>
      <c r="C14" s="4">
        <v>650</v>
      </c>
      <c r="D14" s="9">
        <v>0.12</v>
      </c>
      <c r="E14" s="4">
        <v>-80</v>
      </c>
    </row>
    <row r="15" spans="1:5" x14ac:dyDescent="0.35">
      <c r="A15" s="4" t="s">
        <v>75</v>
      </c>
      <c r="B15" s="4" t="s">
        <v>12</v>
      </c>
      <c r="C15" s="4">
        <v>1000</v>
      </c>
      <c r="D15" s="9">
        <v>0.45</v>
      </c>
      <c r="E15" s="4">
        <v>-200</v>
      </c>
    </row>
    <row r="16" spans="1:5" x14ac:dyDescent="0.35">
      <c r="A16" s="4" t="s">
        <v>76</v>
      </c>
      <c r="B16" s="4" t="s">
        <v>16</v>
      </c>
      <c r="C16" s="4">
        <v>1400</v>
      </c>
      <c r="D16" s="9">
        <v>0.2</v>
      </c>
      <c r="E16" s="4">
        <v>-30</v>
      </c>
    </row>
  </sheetData>
  <conditionalFormatting sqref="D1:D1048576">
    <cfRule type="expression" dxfId="0" priority="1">
      <formula>AND($D2&gt;20%,$E2&lt;0)</formula>
    </cfRule>
    <cfRule type="expression" priority="2">
      <formula>AND($D2&gt;20%,$E2&lt;0)</formula>
    </cfRule>
    <cfRule type="expression" priority="5">
      <formula>AND($D2&gt;20%,$E2&lt;0)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9525-8508-453F-B77F-57DFFC05A693}">
  <dimension ref="A1:F21"/>
  <sheetViews>
    <sheetView workbookViewId="0">
      <selection sqref="A1:F21"/>
    </sheetView>
  </sheetViews>
  <sheetFormatPr defaultRowHeight="14.5" x14ac:dyDescent="0.35"/>
  <cols>
    <col min="2" max="2" width="15.08984375" customWidth="1"/>
    <col min="3" max="3" width="17.453125" customWidth="1"/>
    <col min="4" max="4" width="8.7265625" customWidth="1"/>
  </cols>
  <sheetData>
    <row r="1" spans="1:6" x14ac:dyDescent="0.35">
      <c r="A1" s="2" t="s">
        <v>0</v>
      </c>
      <c r="B1" s="2" t="s">
        <v>77</v>
      </c>
      <c r="C1" s="2" t="s">
        <v>78</v>
      </c>
      <c r="D1" s="2" t="s">
        <v>2</v>
      </c>
      <c r="E1" s="2" t="s">
        <v>4</v>
      </c>
      <c r="F1" s="2" t="s">
        <v>53</v>
      </c>
    </row>
    <row r="2" spans="1:6" x14ac:dyDescent="0.35">
      <c r="A2" s="1" t="s">
        <v>79</v>
      </c>
      <c r="B2" s="10">
        <v>46031</v>
      </c>
      <c r="C2" s="1" t="s">
        <v>80</v>
      </c>
      <c r="D2" s="1" t="s">
        <v>11</v>
      </c>
      <c r="E2" s="1">
        <v>450</v>
      </c>
      <c r="F2" s="1">
        <v>80</v>
      </c>
    </row>
    <row r="3" spans="1:6" x14ac:dyDescent="0.35">
      <c r="A3" s="1" t="s">
        <v>81</v>
      </c>
      <c r="B3" s="10">
        <v>46062</v>
      </c>
      <c r="C3" s="1" t="s">
        <v>82</v>
      </c>
      <c r="D3" s="1" t="s">
        <v>7</v>
      </c>
      <c r="E3" s="1">
        <v>1200</v>
      </c>
      <c r="F3" s="1">
        <v>250</v>
      </c>
    </row>
    <row r="4" spans="1:6" x14ac:dyDescent="0.35">
      <c r="A4" s="1" t="s">
        <v>83</v>
      </c>
      <c r="B4" s="10">
        <v>46090</v>
      </c>
      <c r="C4" s="1" t="s">
        <v>84</v>
      </c>
      <c r="D4" s="1" t="s">
        <v>39</v>
      </c>
      <c r="E4" s="1">
        <v>150</v>
      </c>
      <c r="F4" s="1">
        <v>40</v>
      </c>
    </row>
    <row r="5" spans="1:6" x14ac:dyDescent="0.35">
      <c r="A5" s="1" t="s">
        <v>85</v>
      </c>
      <c r="B5" s="10">
        <v>46121</v>
      </c>
      <c r="C5" s="1" t="s">
        <v>80</v>
      </c>
      <c r="D5" s="1" t="s">
        <v>19</v>
      </c>
      <c r="E5" s="1">
        <v>700</v>
      </c>
      <c r="F5" s="1">
        <v>120</v>
      </c>
    </row>
    <row r="6" spans="1:6" x14ac:dyDescent="0.35">
      <c r="A6" s="1" t="s">
        <v>86</v>
      </c>
      <c r="B6" s="10">
        <v>46151</v>
      </c>
      <c r="C6" s="1" t="s">
        <v>82</v>
      </c>
      <c r="D6" s="1" t="s">
        <v>30</v>
      </c>
      <c r="E6" s="1">
        <v>850</v>
      </c>
      <c r="F6" s="1">
        <v>180</v>
      </c>
    </row>
    <row r="7" spans="1:6" x14ac:dyDescent="0.35">
      <c r="A7" s="1" t="s">
        <v>87</v>
      </c>
      <c r="B7" s="10">
        <v>46182</v>
      </c>
      <c r="C7" s="1" t="s">
        <v>84</v>
      </c>
      <c r="D7" s="1" t="s">
        <v>88</v>
      </c>
      <c r="E7" s="1">
        <v>220</v>
      </c>
      <c r="F7" s="1">
        <v>60</v>
      </c>
    </row>
    <row r="8" spans="1:6" x14ac:dyDescent="0.35">
      <c r="A8" s="1" t="s">
        <v>89</v>
      </c>
      <c r="B8" s="10">
        <v>46212</v>
      </c>
      <c r="C8" s="1" t="s">
        <v>80</v>
      </c>
      <c r="D8" s="1" t="s">
        <v>90</v>
      </c>
      <c r="E8" s="1">
        <v>900</v>
      </c>
      <c r="F8" s="1">
        <v>150</v>
      </c>
    </row>
    <row r="9" spans="1:6" x14ac:dyDescent="0.35">
      <c r="A9" s="1" t="s">
        <v>91</v>
      </c>
      <c r="B9" s="10">
        <v>46243</v>
      </c>
      <c r="C9" s="1" t="s">
        <v>82</v>
      </c>
      <c r="D9" s="1" t="s">
        <v>27</v>
      </c>
      <c r="E9" s="1">
        <v>300</v>
      </c>
      <c r="F9" s="1">
        <v>70</v>
      </c>
    </row>
    <row r="10" spans="1:6" x14ac:dyDescent="0.35">
      <c r="A10" s="1" t="s">
        <v>92</v>
      </c>
      <c r="B10" s="10">
        <v>46274</v>
      </c>
      <c r="C10" s="1" t="s">
        <v>84</v>
      </c>
      <c r="D10" s="1" t="s">
        <v>93</v>
      </c>
      <c r="E10" s="1">
        <v>100</v>
      </c>
      <c r="F10" s="1">
        <v>30</v>
      </c>
    </row>
    <row r="11" spans="1:6" x14ac:dyDescent="0.35">
      <c r="A11" s="1" t="s">
        <v>94</v>
      </c>
      <c r="B11" s="10">
        <v>46304</v>
      </c>
      <c r="C11" s="1" t="s">
        <v>80</v>
      </c>
      <c r="D11" s="1" t="s">
        <v>11</v>
      </c>
      <c r="E11" s="1">
        <v>550</v>
      </c>
      <c r="F11" s="1">
        <v>100</v>
      </c>
    </row>
    <row r="12" spans="1:6" x14ac:dyDescent="0.35">
      <c r="A12" s="1" t="s">
        <v>95</v>
      </c>
      <c r="B12" s="10">
        <v>46335</v>
      </c>
      <c r="C12" s="1" t="s">
        <v>82</v>
      </c>
      <c r="D12" s="1" t="s">
        <v>15</v>
      </c>
      <c r="E12" s="1">
        <v>1000</v>
      </c>
      <c r="F12" s="1">
        <v>220</v>
      </c>
    </row>
    <row r="13" spans="1:6" ht="15.5" customHeight="1" x14ac:dyDescent="0.35">
      <c r="A13" s="1" t="s">
        <v>96</v>
      </c>
      <c r="B13" s="10">
        <v>46365</v>
      </c>
      <c r="C13" s="1" t="s">
        <v>84</v>
      </c>
      <c r="D13" s="1" t="s">
        <v>97</v>
      </c>
      <c r="E13" s="1">
        <v>350</v>
      </c>
      <c r="F13" s="1">
        <v>90</v>
      </c>
    </row>
    <row r="14" spans="1:6" x14ac:dyDescent="0.35">
      <c r="A14" s="1" t="s">
        <v>98</v>
      </c>
      <c r="B14" s="1" t="s">
        <v>99</v>
      </c>
      <c r="C14" s="1" t="s">
        <v>80</v>
      </c>
      <c r="D14" s="1" t="s">
        <v>24</v>
      </c>
      <c r="E14" s="1">
        <v>1100</v>
      </c>
      <c r="F14" s="1">
        <v>200</v>
      </c>
    </row>
    <row r="15" spans="1:6" x14ac:dyDescent="0.35">
      <c r="A15" s="1" t="s">
        <v>100</v>
      </c>
      <c r="B15" s="1" t="s">
        <v>101</v>
      </c>
      <c r="C15" s="1" t="s">
        <v>82</v>
      </c>
      <c r="D15" s="1" t="s">
        <v>23</v>
      </c>
      <c r="E15" s="1">
        <v>650</v>
      </c>
      <c r="F15" s="1">
        <v>140</v>
      </c>
    </row>
    <row r="16" spans="1:6" x14ac:dyDescent="0.35">
      <c r="A16" s="1" t="s">
        <v>102</v>
      </c>
      <c r="B16" s="1" t="s">
        <v>103</v>
      </c>
      <c r="C16" s="1" t="s">
        <v>84</v>
      </c>
      <c r="D16" s="1" t="s">
        <v>104</v>
      </c>
      <c r="E16" s="1">
        <v>180</v>
      </c>
      <c r="F16" s="1">
        <v>50</v>
      </c>
    </row>
    <row r="17" spans="1:6" x14ac:dyDescent="0.35">
      <c r="A17" s="1" t="s">
        <v>105</v>
      </c>
      <c r="B17" s="1" t="s">
        <v>106</v>
      </c>
      <c r="C17" s="1" t="s">
        <v>80</v>
      </c>
      <c r="D17" s="1" t="s">
        <v>19</v>
      </c>
      <c r="E17" s="1">
        <v>800</v>
      </c>
      <c r="F17" s="1">
        <v>130</v>
      </c>
    </row>
    <row r="18" spans="1:6" ht="13.5" customHeight="1" x14ac:dyDescent="0.35">
      <c r="A18" s="1" t="s">
        <v>107</v>
      </c>
      <c r="B18" s="1" t="s">
        <v>108</v>
      </c>
      <c r="C18" s="1" t="s">
        <v>82</v>
      </c>
      <c r="D18" s="1" t="s">
        <v>34</v>
      </c>
      <c r="E18" s="1">
        <v>400</v>
      </c>
      <c r="F18" s="1">
        <v>100</v>
      </c>
    </row>
    <row r="19" spans="1:6" ht="14" customHeight="1" x14ac:dyDescent="0.35">
      <c r="A19" s="1" t="s">
        <v>109</v>
      </c>
      <c r="B19" s="1" t="s">
        <v>110</v>
      </c>
      <c r="C19" s="1" t="s">
        <v>84</v>
      </c>
      <c r="D19" s="1" t="s">
        <v>111</v>
      </c>
      <c r="E19" s="1">
        <v>120</v>
      </c>
      <c r="F19" s="1">
        <v>35</v>
      </c>
    </row>
    <row r="20" spans="1:6" x14ac:dyDescent="0.35">
      <c r="A20" s="1" t="s">
        <v>112</v>
      </c>
      <c r="B20" s="1" t="s">
        <v>113</v>
      </c>
      <c r="C20" s="1" t="s">
        <v>80</v>
      </c>
      <c r="D20" s="1" t="s">
        <v>114</v>
      </c>
      <c r="E20" s="1">
        <v>1500</v>
      </c>
      <c r="F20" s="1">
        <v>300</v>
      </c>
    </row>
    <row r="21" spans="1:6" x14ac:dyDescent="0.35">
      <c r="A21" s="1" t="s">
        <v>115</v>
      </c>
      <c r="B21" s="1" t="s">
        <v>116</v>
      </c>
      <c r="C21" s="1" t="s">
        <v>82</v>
      </c>
      <c r="D21" s="1" t="s">
        <v>117</v>
      </c>
      <c r="E21" s="1">
        <v>500</v>
      </c>
      <c r="F21" s="1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FFB2-897C-4C15-AE6A-514E49A13EAA}">
  <dimension ref="A3:B7"/>
  <sheetViews>
    <sheetView workbookViewId="0">
      <selection activeCell="A5" sqref="A4:A6"/>
    </sheetView>
  </sheetViews>
  <sheetFormatPr defaultRowHeight="14.5" x14ac:dyDescent="0.35"/>
  <cols>
    <col min="1" max="1" width="13" bestFit="1" customWidth="1"/>
    <col min="2" max="2" width="11.54296875" bestFit="1" customWidth="1"/>
  </cols>
  <sheetData>
    <row r="3" spans="1:2" x14ac:dyDescent="0.35">
      <c r="A3" s="5" t="s">
        <v>50</v>
      </c>
      <c r="B3" t="s">
        <v>52</v>
      </c>
    </row>
    <row r="4" spans="1:2" x14ac:dyDescent="0.35">
      <c r="A4" s="6" t="s">
        <v>80</v>
      </c>
      <c r="B4" s="7">
        <v>6000</v>
      </c>
    </row>
    <row r="5" spans="1:2" x14ac:dyDescent="0.35">
      <c r="A5" s="6" t="s">
        <v>84</v>
      </c>
      <c r="B5" s="7">
        <v>1120</v>
      </c>
    </row>
    <row r="6" spans="1:2" x14ac:dyDescent="0.35">
      <c r="A6" s="6" t="s">
        <v>82</v>
      </c>
      <c r="B6" s="7">
        <v>4900</v>
      </c>
    </row>
    <row r="7" spans="1:2" x14ac:dyDescent="0.35">
      <c r="A7" s="6" t="s">
        <v>51</v>
      </c>
      <c r="B7" s="7">
        <v>12020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1750-1E27-41BD-BA07-035A82E7ED55}">
  <dimension ref="F2:O7"/>
  <sheetViews>
    <sheetView topLeftCell="A5" zoomScale="86" workbookViewId="0">
      <selection activeCell="L20" sqref="L20"/>
    </sheetView>
  </sheetViews>
  <sheetFormatPr defaultRowHeight="14.5" x14ac:dyDescent="0.35"/>
  <cols>
    <col min="7" max="7" width="12.453125" bestFit="1" customWidth="1"/>
    <col min="10" max="10" width="27.26953125" customWidth="1"/>
    <col min="12" max="12" width="17.6328125" customWidth="1"/>
    <col min="13" max="13" width="10.36328125" bestFit="1" customWidth="1"/>
  </cols>
  <sheetData>
    <row r="2" spans="6:15" ht="29.5" customHeight="1" x14ac:dyDescent="0.55000000000000004">
      <c r="H2" s="11"/>
      <c r="I2" s="12" t="s">
        <v>118</v>
      </c>
      <c r="J2" s="11"/>
      <c r="K2" s="11"/>
      <c r="L2" s="11"/>
    </row>
    <row r="3" spans="6:15" x14ac:dyDescent="0.35">
      <c r="H3" s="11"/>
      <c r="I3" s="11"/>
      <c r="J3" s="11"/>
      <c r="K3" s="11"/>
      <c r="L3" s="11"/>
    </row>
    <row r="5" spans="6:15" ht="18.5" x14ac:dyDescent="0.45">
      <c r="F5" s="13"/>
      <c r="G5" s="14" t="s">
        <v>119</v>
      </c>
      <c r="H5" s="13"/>
      <c r="I5" s="13"/>
      <c r="L5" s="13"/>
      <c r="M5" s="14" t="s">
        <v>120</v>
      </c>
      <c r="N5" s="13"/>
      <c r="O5" s="13"/>
    </row>
    <row r="6" spans="6:15" ht="18.5" x14ac:dyDescent="0.45">
      <c r="F6" s="13"/>
      <c r="G6" s="16">
        <f>SUM('Q4'!E:E)</f>
        <v>12020</v>
      </c>
      <c r="H6" s="15"/>
      <c r="I6" s="13"/>
      <c r="L6" s="13"/>
      <c r="M6" s="17">
        <f>SUM('Q4'!F:F)</f>
        <v>2455</v>
      </c>
      <c r="N6" s="13"/>
      <c r="O6" s="13"/>
    </row>
    <row r="7" spans="6:15" x14ac:dyDescent="0.35">
      <c r="F7" s="13"/>
      <c r="G7" s="13"/>
      <c r="H7" s="13"/>
      <c r="I7" s="13"/>
      <c r="L7" s="13"/>
      <c r="M7" s="13"/>
      <c r="N7" s="13"/>
      <c r="O7" s="1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37FF-781F-43C7-954A-BF7D8CCA4A48}">
  <dimension ref="A1:D21"/>
  <sheetViews>
    <sheetView tabSelected="1" workbookViewId="0">
      <selection activeCell="F12" sqref="F12"/>
    </sheetView>
  </sheetViews>
  <sheetFormatPr defaultRowHeight="14.5" x14ac:dyDescent="0.35"/>
  <cols>
    <col min="2" max="2" width="13.90625" customWidth="1"/>
  </cols>
  <sheetData>
    <row r="1" spans="1:4" x14ac:dyDescent="0.35">
      <c r="A1" s="2" t="s">
        <v>0</v>
      </c>
      <c r="B1" s="2" t="s">
        <v>121</v>
      </c>
      <c r="C1" s="2" t="s">
        <v>4</v>
      </c>
      <c r="D1" s="2" t="s">
        <v>53</v>
      </c>
    </row>
    <row r="2" spans="1:4" x14ac:dyDescent="0.35">
      <c r="A2" s="1" t="s">
        <v>122</v>
      </c>
      <c r="B2" s="1" t="s">
        <v>123</v>
      </c>
      <c r="C2" s="1">
        <v>1200</v>
      </c>
      <c r="D2" s="1">
        <v>300</v>
      </c>
    </row>
    <row r="3" spans="1:4" x14ac:dyDescent="0.35">
      <c r="A3" s="1" t="s">
        <v>124</v>
      </c>
      <c r="B3" s="1" t="s">
        <v>125</v>
      </c>
      <c r="C3" s="1">
        <v>800</v>
      </c>
      <c r="D3" s="1">
        <v>180</v>
      </c>
    </row>
    <row r="4" spans="1:4" x14ac:dyDescent="0.35">
      <c r="A4" s="1" t="s">
        <v>126</v>
      </c>
      <c r="B4" s="1" t="s">
        <v>127</v>
      </c>
      <c r="C4" s="1">
        <v>500</v>
      </c>
      <c r="D4" s="1">
        <v>100</v>
      </c>
    </row>
    <row r="5" spans="1:4" x14ac:dyDescent="0.35">
      <c r="A5" s="1" t="s">
        <v>128</v>
      </c>
      <c r="B5" s="1" t="s">
        <v>129</v>
      </c>
      <c r="C5" s="1">
        <v>600</v>
      </c>
      <c r="D5" s="1">
        <v>150</v>
      </c>
    </row>
    <row r="6" spans="1:4" x14ac:dyDescent="0.35">
      <c r="A6" s="1" t="s">
        <v>130</v>
      </c>
      <c r="B6" s="1" t="s">
        <v>131</v>
      </c>
      <c r="C6" s="1">
        <v>300</v>
      </c>
      <c r="D6" s="1">
        <v>70</v>
      </c>
    </row>
    <row r="7" spans="1:4" x14ac:dyDescent="0.35">
      <c r="A7" s="1" t="s">
        <v>132</v>
      </c>
      <c r="B7" s="1" t="s">
        <v>123</v>
      </c>
      <c r="C7" s="1">
        <v>1500</v>
      </c>
      <c r="D7" s="1">
        <v>400</v>
      </c>
    </row>
    <row r="8" spans="1:4" x14ac:dyDescent="0.35">
      <c r="A8" s="1" t="s">
        <v>133</v>
      </c>
      <c r="B8" s="1" t="s">
        <v>125</v>
      </c>
      <c r="C8" s="1">
        <v>900</v>
      </c>
      <c r="D8" s="1">
        <v>220</v>
      </c>
    </row>
    <row r="9" spans="1:4" x14ac:dyDescent="0.35">
      <c r="A9" s="1" t="s">
        <v>134</v>
      </c>
      <c r="B9" s="1" t="s">
        <v>135</v>
      </c>
      <c r="C9" s="1">
        <v>1000</v>
      </c>
      <c r="D9" s="1">
        <v>120</v>
      </c>
    </row>
    <row r="10" spans="1:4" x14ac:dyDescent="0.35">
      <c r="A10" s="1" t="s">
        <v>136</v>
      </c>
      <c r="B10" s="1" t="s">
        <v>129</v>
      </c>
      <c r="C10" s="1">
        <v>700</v>
      </c>
      <c r="D10" s="1">
        <v>170</v>
      </c>
    </row>
    <row r="11" spans="1:4" x14ac:dyDescent="0.35">
      <c r="A11" s="1" t="s">
        <v>137</v>
      </c>
      <c r="B11" s="1" t="s">
        <v>138</v>
      </c>
      <c r="C11" s="1">
        <v>1300</v>
      </c>
      <c r="D11" s="1">
        <v>350</v>
      </c>
    </row>
    <row r="12" spans="1:4" x14ac:dyDescent="0.35">
      <c r="A12" s="1" t="s">
        <v>139</v>
      </c>
      <c r="B12" s="1" t="s">
        <v>123</v>
      </c>
      <c r="C12" s="1">
        <v>900</v>
      </c>
      <c r="D12" s="1">
        <v>250</v>
      </c>
    </row>
    <row r="13" spans="1:4" x14ac:dyDescent="0.35">
      <c r="A13" s="1" t="s">
        <v>140</v>
      </c>
      <c r="B13" s="1" t="s">
        <v>131</v>
      </c>
      <c r="C13" s="1">
        <v>450</v>
      </c>
      <c r="D13" s="1">
        <v>90</v>
      </c>
    </row>
    <row r="14" spans="1:4" x14ac:dyDescent="0.35">
      <c r="A14" s="1" t="s">
        <v>141</v>
      </c>
      <c r="B14" s="1" t="s">
        <v>125</v>
      </c>
      <c r="C14" s="1">
        <v>1100</v>
      </c>
      <c r="D14" s="1">
        <v>280</v>
      </c>
    </row>
    <row r="15" spans="1:4" x14ac:dyDescent="0.35">
      <c r="A15" s="1" t="s">
        <v>142</v>
      </c>
      <c r="B15" s="1" t="s">
        <v>138</v>
      </c>
      <c r="C15" s="1">
        <v>800</v>
      </c>
      <c r="D15" s="1">
        <v>200</v>
      </c>
    </row>
    <row r="16" spans="1:4" x14ac:dyDescent="0.35">
      <c r="A16" s="1" t="s">
        <v>143</v>
      </c>
      <c r="B16" s="1" t="s">
        <v>135</v>
      </c>
      <c r="C16" s="1">
        <v>1200</v>
      </c>
      <c r="D16" s="1">
        <v>140</v>
      </c>
    </row>
    <row r="17" spans="1:4" x14ac:dyDescent="0.35">
      <c r="A17" s="1" t="s">
        <v>144</v>
      </c>
      <c r="B17" s="1" t="s">
        <v>129</v>
      </c>
      <c r="C17" s="1">
        <v>500</v>
      </c>
      <c r="D17" s="1">
        <v>130</v>
      </c>
    </row>
    <row r="18" spans="1:4" x14ac:dyDescent="0.35">
      <c r="A18" s="1" t="s">
        <v>145</v>
      </c>
      <c r="B18" s="1" t="s">
        <v>123</v>
      </c>
      <c r="C18" s="1">
        <v>700</v>
      </c>
      <c r="D18" s="1">
        <v>180</v>
      </c>
    </row>
    <row r="19" spans="1:4" x14ac:dyDescent="0.35">
      <c r="A19" s="1" t="s">
        <v>146</v>
      </c>
      <c r="B19" s="1" t="s">
        <v>125</v>
      </c>
      <c r="C19" s="1">
        <v>600</v>
      </c>
      <c r="D19" s="1">
        <v>150</v>
      </c>
    </row>
    <row r="20" spans="1:4" x14ac:dyDescent="0.35">
      <c r="A20" s="1" t="s">
        <v>147</v>
      </c>
      <c r="B20" s="1" t="s">
        <v>138</v>
      </c>
      <c r="C20" s="1">
        <v>1000</v>
      </c>
      <c r="D20" s="1">
        <v>270</v>
      </c>
    </row>
    <row r="21" spans="1:4" x14ac:dyDescent="0.35">
      <c r="A21" s="1" t="s">
        <v>148</v>
      </c>
      <c r="B21" s="1" t="s">
        <v>127</v>
      </c>
      <c r="C21" s="1">
        <v>650</v>
      </c>
      <c r="D21" s="1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D624-745C-4C5D-82E6-567B34091498}">
  <dimension ref="A3:B9"/>
  <sheetViews>
    <sheetView workbookViewId="0">
      <selection activeCell="D8" sqref="D8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5" t="s">
        <v>50</v>
      </c>
      <c r="B3" t="s">
        <v>59</v>
      </c>
    </row>
    <row r="4" spans="1:2" x14ac:dyDescent="0.35">
      <c r="A4" s="6" t="s">
        <v>135</v>
      </c>
      <c r="B4" s="7">
        <v>260</v>
      </c>
    </row>
    <row r="5" spans="1:2" x14ac:dyDescent="0.35">
      <c r="A5" s="6" t="s">
        <v>123</v>
      </c>
      <c r="B5" s="7">
        <v>1130</v>
      </c>
    </row>
    <row r="6" spans="1:2" x14ac:dyDescent="0.35">
      <c r="A6" s="6" t="s">
        <v>138</v>
      </c>
      <c r="B6" s="7">
        <v>820</v>
      </c>
    </row>
    <row r="7" spans="1:2" x14ac:dyDescent="0.35">
      <c r="A7" s="6" t="s">
        <v>125</v>
      </c>
      <c r="B7" s="7">
        <v>830</v>
      </c>
    </row>
    <row r="8" spans="1:2" x14ac:dyDescent="0.35">
      <c r="A8" s="6" t="s">
        <v>129</v>
      </c>
      <c r="B8" s="7">
        <v>450</v>
      </c>
    </row>
    <row r="9" spans="1:2" x14ac:dyDescent="0.35">
      <c r="A9" s="6" t="s">
        <v>51</v>
      </c>
      <c r="B9" s="7">
        <v>3490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 A1</vt:lpstr>
      <vt:lpstr>Q2</vt:lpstr>
      <vt:lpstr>A2</vt:lpstr>
      <vt:lpstr>A3</vt:lpstr>
      <vt:lpstr>Q4</vt:lpstr>
      <vt:lpstr>Sheet8</vt:lpstr>
      <vt:lpstr>A4</vt:lpstr>
      <vt:lpstr>Q5</vt:lpstr>
      <vt:lpstr>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Ziyan</dc:creator>
  <cp:lastModifiedBy>Mo Ziyan</cp:lastModifiedBy>
  <dcterms:created xsi:type="dcterms:W3CDTF">2026-10-04T06:15:13Z</dcterms:created>
  <dcterms:modified xsi:type="dcterms:W3CDTF">2026-10-04T08:09:56Z</dcterms:modified>
</cp:coreProperties>
</file>